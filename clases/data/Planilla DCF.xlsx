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torr\Desktop\Curso Inversiones\Actividad práctica 4\"/>
    </mc:Choice>
  </mc:AlternateContent>
  <xr:revisionPtr revIDLastSave="0" documentId="13_ncr:1_{3C431034-C8E5-44FA-86FC-4E03CC4135C4}" xr6:coauthVersionLast="47" xr6:coauthVersionMax="47" xr10:uidLastSave="{00000000-0000-0000-0000-000000000000}"/>
  <bookViews>
    <workbookView xWindow="-120" yWindow="-120" windowWidth="29040" windowHeight="15720" xr2:uid="{A85B69B7-967B-40EE-A07E-D174E78F6317}"/>
  </bookViews>
  <sheets>
    <sheet name="DCF Aguas Andinas" sheetId="1" r:id="rId1"/>
  </sheets>
  <definedNames>
    <definedName name="CIQWBGuid" hidden="1">"bf3c0892-68c8-449e-9207-7b0ea60f6a59"</definedName>
    <definedName name="CIQWBInfo" hidden="1">"{ ""CIQVersion"":""9.45.614.5792""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"10/29/2020 18:17:45"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C15" i="1"/>
  <c r="C13" i="1"/>
  <c r="F7" i="1" s="1"/>
  <c r="G7" i="1" s="1"/>
  <c r="C6" i="1"/>
  <c r="C20" i="1"/>
  <c r="C23" i="1"/>
  <c r="I6" i="1"/>
  <c r="J6" i="1"/>
  <c r="K6" i="1"/>
  <c r="L6" i="1"/>
  <c r="M6" i="1"/>
  <c r="N6" i="1"/>
  <c r="O6" i="1" s="1"/>
  <c r="P6" i="1" s="1"/>
  <c r="H6" i="1"/>
  <c r="G10" i="1" l="1"/>
  <c r="H7" i="1"/>
  <c r="J8" i="1"/>
  <c r="I7" i="1" l="1"/>
  <c r="J7" i="1" s="1"/>
  <c r="K7" i="1" s="1"/>
  <c r="L7" i="1" s="1"/>
  <c r="M7" i="1" s="1"/>
  <c r="N7" i="1" s="1"/>
  <c r="O7" i="1" s="1"/>
  <c r="P7" i="1" s="1"/>
  <c r="Q7" i="1" s="1"/>
  <c r="H10" i="1"/>
  <c r="I8" i="1"/>
  <c r="F8" i="1"/>
  <c r="H8" i="1"/>
  <c r="G8" i="1"/>
  <c r="M8" i="1"/>
  <c r="N8" i="1"/>
  <c r="L8" i="1"/>
  <c r="P8" i="1"/>
  <c r="O8" i="1"/>
  <c r="K8" i="1"/>
  <c r="I10" i="1" l="1"/>
  <c r="J10" i="1" l="1"/>
  <c r="K10" i="1" l="1"/>
  <c r="L10" i="1" l="1"/>
  <c r="M10" i="1" l="1"/>
  <c r="N10" i="1" l="1"/>
  <c r="O10" i="1" l="1"/>
  <c r="P10" i="1" l="1"/>
  <c r="G12" i="1" l="1"/>
  <c r="G14" i="1" s="1"/>
  <c r="G17" i="1" s="1"/>
</calcChain>
</file>

<file path=xl/sharedStrings.xml><?xml version="1.0" encoding="utf-8"?>
<sst xmlns="http://schemas.openxmlformats.org/spreadsheetml/2006/main" count="28" uniqueCount="28">
  <si>
    <t>FCFF</t>
  </si>
  <si>
    <t>Asuma Delta NKW de cero</t>
  </si>
  <si>
    <t>D&amp;A</t>
  </si>
  <si>
    <t>Expansión</t>
  </si>
  <si>
    <t>Mantenimiento</t>
  </si>
  <si>
    <t>Capex</t>
  </si>
  <si>
    <t>T</t>
  </si>
  <si>
    <t>EBIT</t>
  </si>
  <si>
    <t>Caja</t>
  </si>
  <si>
    <t>Deuda Financiera</t>
  </si>
  <si>
    <t>Usar datos en miles de millones (MM)</t>
  </si>
  <si>
    <t>Tasa libre de riesgo</t>
  </si>
  <si>
    <t>ERP</t>
  </si>
  <si>
    <t>Beta</t>
  </si>
  <si>
    <t>Ke</t>
  </si>
  <si>
    <t>D/A</t>
  </si>
  <si>
    <t>E/A</t>
  </si>
  <si>
    <t>Kd pre tax</t>
  </si>
  <si>
    <t>WACC</t>
  </si>
  <si>
    <t>TV</t>
  </si>
  <si>
    <t>DCF</t>
  </si>
  <si>
    <t>EV</t>
  </si>
  <si>
    <t>Equity</t>
  </si>
  <si>
    <t>Accs</t>
  </si>
  <si>
    <t>Precio Objetivo</t>
  </si>
  <si>
    <t>g1</t>
  </si>
  <si>
    <t>g2</t>
  </si>
  <si>
    <t>DCF Aguas Andinas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</si>
</sst>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0.0%"/>
    <numFmt numFmtId="165" formatCode="_ * #,##0.00_ ;_ * \-#,##0.00_ ;_ * &quot;-&quot;_ ;_ @_ "/>
    <numFmt numFmtId="166" formatCode="_ &quot;$&quot;* #,##0.0_ ;_ &quot;$&quot;* \-#,##0.0_ ;_ &quot;$&quot;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42" fontId="0" fillId="0" borderId="0" xfId="0" applyNumberFormat="1"/>
    <xf numFmtId="42" fontId="0" fillId="0" borderId="0" xfId="2" applyFont="1"/>
    <xf numFmtId="0" fontId="0" fillId="0" borderId="0" xfId="0" applyAlignment="1">
      <alignment vertical="top"/>
    </xf>
    <xf numFmtId="10" fontId="0" fillId="0" borderId="0" xfId="0" applyNumberFormat="1"/>
    <xf numFmtId="9" fontId="0" fillId="0" borderId="0" xfId="3" applyFont="1"/>
    <xf numFmtId="164" fontId="0" fillId="0" borderId="0" xfId="3" applyNumberFormat="1" applyFont="1"/>
    <xf numFmtId="165" fontId="0" fillId="0" borderId="0" xfId="1" applyNumberFormat="1" applyFont="1"/>
    <xf numFmtId="166" fontId="0" fillId="0" borderId="0" xfId="2" applyNumberFormat="1" applyFont="1"/>
    <xf numFmtId="42" fontId="2" fillId="0" borderId="0" xfId="2" applyFont="1"/>
    <xf numFmtId="9" fontId="2" fillId="0" borderId="0" xfId="0" applyNumberFormat="1" applyFont="1"/>
    <xf numFmtId="10" fontId="2" fillId="0" borderId="0" xfId="0" applyNumberFormat="1" applyFont="1"/>
    <xf numFmtId="0" fontId="2" fillId="0" borderId="0" xfId="0" applyFont="1"/>
    <xf numFmtId="9" fontId="3" fillId="0" borderId="0" xfId="0" applyNumberFormat="1" applyFont="1"/>
    <xf numFmtId="3" fontId="2" fillId="0" borderId="0" xfId="0" applyNumberFormat="1" applyFont="1"/>
  </cellXfs>
  <cellStyles count="4">
    <cellStyle name="Millares [0]" xfId="1" builtinId="6"/>
    <cellStyle name="Moneda [0]" xfId="2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025C8-BA2D-4942-818E-9B90E9A9C560}">
  <dimension ref="B1:Q25"/>
  <sheetViews>
    <sheetView tabSelected="1" workbookViewId="0">
      <selection activeCell="C4" sqref="C4"/>
    </sheetView>
  </sheetViews>
  <sheetFormatPr baseColWidth="10" defaultRowHeight="15" x14ac:dyDescent="0.25"/>
  <cols>
    <col min="2" max="2" width="24.28515625" bestFit="1" customWidth="1"/>
    <col min="4" max="4" width="17.140625" bestFit="1" customWidth="1"/>
    <col min="6" max="6" width="14.7109375" bestFit="1" customWidth="1"/>
    <col min="7" max="7" width="12.7109375" bestFit="1" customWidth="1"/>
  </cols>
  <sheetData>
    <row r="1" spans="2:17" x14ac:dyDescent="0.25">
      <c r="B1" t="s">
        <v>27</v>
      </c>
    </row>
    <row r="2" spans="2:17" x14ac:dyDescent="0.25">
      <c r="B2" t="s">
        <v>10</v>
      </c>
    </row>
    <row r="3" spans="2:17" x14ac:dyDescent="0.25">
      <c r="C3">
        <v>2024</v>
      </c>
      <c r="F3" t="s">
        <v>25</v>
      </c>
      <c r="G3" s="10">
        <v>0.05</v>
      </c>
      <c r="K3" t="s">
        <v>26</v>
      </c>
      <c r="L3" s="10">
        <v>0.04</v>
      </c>
    </row>
    <row r="4" spans="2:17" x14ac:dyDescent="0.25">
      <c r="B4" t="s">
        <v>7</v>
      </c>
      <c r="C4" s="9">
        <v>350154</v>
      </c>
    </row>
    <row r="5" spans="2:17" x14ac:dyDescent="0.25">
      <c r="B5" t="s">
        <v>6</v>
      </c>
      <c r="C5" s="10">
        <v>0.35</v>
      </c>
      <c r="G5">
        <v>1</v>
      </c>
      <c r="H5">
        <v>2</v>
      </c>
      <c r="I5">
        <v>3</v>
      </c>
      <c r="J5">
        <v>4</v>
      </c>
      <c r="K5">
        <v>5</v>
      </c>
      <c r="L5">
        <v>6</v>
      </c>
      <c r="M5">
        <v>7</v>
      </c>
      <c r="N5">
        <v>8</v>
      </c>
      <c r="O5">
        <v>9</v>
      </c>
      <c r="P5">
        <v>10</v>
      </c>
      <c r="Q5" t="s">
        <v>19</v>
      </c>
    </row>
    <row r="6" spans="2:17" x14ac:dyDescent="0.25">
      <c r="B6" t="s">
        <v>5</v>
      </c>
      <c r="C6" s="2">
        <f>+C7+C8</f>
        <v>181547</v>
      </c>
      <c r="F6">
        <v>2024</v>
      </c>
      <c r="G6">
        <v>2025</v>
      </c>
      <c r="H6">
        <f>+G6+1</f>
        <v>2026</v>
      </c>
      <c r="I6">
        <f t="shared" ref="I6:P6" si="0">+H6+1</f>
        <v>2027</v>
      </c>
      <c r="J6">
        <f t="shared" si="0"/>
        <v>2028</v>
      </c>
      <c r="K6">
        <f t="shared" si="0"/>
        <v>2029</v>
      </c>
      <c r="L6">
        <f t="shared" si="0"/>
        <v>2030</v>
      </c>
      <c r="M6">
        <f t="shared" si="0"/>
        <v>2031</v>
      </c>
      <c r="N6">
        <f t="shared" si="0"/>
        <v>2032</v>
      </c>
      <c r="O6">
        <f t="shared" si="0"/>
        <v>2033</v>
      </c>
      <c r="P6">
        <f t="shared" si="0"/>
        <v>2034</v>
      </c>
    </row>
    <row r="7" spans="2:17" x14ac:dyDescent="0.25">
      <c r="B7" t="s">
        <v>4</v>
      </c>
      <c r="C7" s="9">
        <v>100000</v>
      </c>
      <c r="F7" s="1">
        <f>+C13</f>
        <v>120051.09999999998</v>
      </c>
      <c r="G7" s="2">
        <f>+F7*(1+$G$3)</f>
        <v>126053.65499999998</v>
      </c>
      <c r="H7" s="2">
        <f>+G7*(1+$G$3)</f>
        <v>132356.33774999998</v>
      </c>
      <c r="I7" s="2">
        <f>+H7*(1+$G$3)</f>
        <v>138974.15463749997</v>
      </c>
      <c r="J7" s="2">
        <f>+I7*(1+$G$3)</f>
        <v>145922.86236937498</v>
      </c>
      <c r="K7" s="2">
        <f>+J7*(1+$G$3)</f>
        <v>153219.00548784374</v>
      </c>
      <c r="L7" s="2">
        <f>+(K7+C8)*(1+$L$3)</f>
        <v>244156.6457073575</v>
      </c>
      <c r="M7" s="2">
        <f>+L7*(1+$L$3)</f>
        <v>253922.9115356518</v>
      </c>
      <c r="N7" s="2">
        <f>+M7*(1+$L$3)</f>
        <v>264079.8279970779</v>
      </c>
      <c r="O7" s="2">
        <f>+N7*(1+$L$3)</f>
        <v>274643.02111696103</v>
      </c>
      <c r="P7" s="2">
        <f>+O7*(1+$L$3)</f>
        <v>285628.74196163949</v>
      </c>
      <c r="Q7" s="2">
        <f>+(P7*(1+$L$3))/($C$25-$L$3)</f>
        <v>9098128.3810139354</v>
      </c>
    </row>
    <row r="8" spans="2:17" x14ac:dyDescent="0.25">
      <c r="B8" t="s">
        <v>3</v>
      </c>
      <c r="C8" s="9">
        <v>81547</v>
      </c>
      <c r="F8" s="7">
        <f>+(1+$C$25)^F5</f>
        <v>1</v>
      </c>
      <c r="G8" s="7">
        <f>+(1+$C$25)^G5</f>
        <v>1.0726500000000001</v>
      </c>
      <c r="H8" s="7">
        <f t="shared" ref="H8:P8" si="1">+(1+$C$25)^H5</f>
        <v>1.1505780225000002</v>
      </c>
      <c r="I8" s="7">
        <f t="shared" si="1"/>
        <v>1.2341675158346253</v>
      </c>
      <c r="J8" s="7">
        <f t="shared" si="1"/>
        <v>1.323829785860011</v>
      </c>
      <c r="K8" s="7">
        <f t="shared" si="1"/>
        <v>1.4200060198027409</v>
      </c>
      <c r="L8" s="7">
        <f t="shared" si="1"/>
        <v>1.5231694571414101</v>
      </c>
      <c r="M8" s="7">
        <f t="shared" si="1"/>
        <v>1.6338277182027336</v>
      </c>
      <c r="N8" s="7">
        <f t="shared" si="1"/>
        <v>1.7525253019301625</v>
      </c>
      <c r="O8" s="7">
        <f t="shared" si="1"/>
        <v>1.8798462651153891</v>
      </c>
      <c r="P8" s="7">
        <f t="shared" si="1"/>
        <v>2.0164170962760224</v>
      </c>
    </row>
    <row r="9" spans="2:17" x14ac:dyDescent="0.25">
      <c r="B9" t="s">
        <v>2</v>
      </c>
      <c r="C9" s="9">
        <v>82220</v>
      </c>
    </row>
    <row r="10" spans="2:17" x14ac:dyDescent="0.25">
      <c r="B10" s="3" t="s">
        <v>1</v>
      </c>
      <c r="C10" s="2"/>
      <c r="F10" t="s">
        <v>20</v>
      </c>
      <c r="G10" s="2">
        <f>+G7/G8</f>
        <v>117516.10963501605</v>
      </c>
      <c r="H10" s="2">
        <f>+H7/H8</f>
        <v>115034.64794365995</v>
      </c>
      <c r="I10" s="2">
        <f t="shared" ref="I10:O10" si="2">+I7/I8</f>
        <v>112605.58461832185</v>
      </c>
      <c r="J10" s="2">
        <f t="shared" si="2"/>
        <v>110227.81321888589</v>
      </c>
      <c r="K10" s="2">
        <f t="shared" si="2"/>
        <v>107900.25066874579</v>
      </c>
      <c r="L10" s="2">
        <f t="shared" si="2"/>
        <v>160295.12971299698</v>
      </c>
      <c r="M10" s="2">
        <f t="shared" si="2"/>
        <v>155415.96504126868</v>
      </c>
      <c r="N10" s="2">
        <f t="shared" si="2"/>
        <v>150685.31547375137</v>
      </c>
      <c r="O10" s="2">
        <f t="shared" si="2"/>
        <v>146098.66041364975</v>
      </c>
      <c r="P10" s="2">
        <f>+(P7+Q7)/P8</f>
        <v>4653678.6165450439</v>
      </c>
    </row>
    <row r="12" spans="2:17" x14ac:dyDescent="0.25">
      <c r="F12" t="s">
        <v>21</v>
      </c>
      <c r="G12" s="1">
        <f>SUM(G10:P10)</f>
        <v>5829458.0932713402</v>
      </c>
      <c r="H12" s="5"/>
    </row>
    <row r="13" spans="2:17" x14ac:dyDescent="0.25">
      <c r="B13" t="s">
        <v>0</v>
      </c>
      <c r="C13" s="1">
        <f>+C4*(1-C5)+C9*0.9-C6-0</f>
        <v>120051.09999999998</v>
      </c>
    </row>
    <row r="14" spans="2:17" x14ac:dyDescent="0.25">
      <c r="B14" t="s">
        <v>8</v>
      </c>
      <c r="C14" s="9">
        <v>108758</v>
      </c>
      <c r="F14" t="s">
        <v>22</v>
      </c>
      <c r="G14" s="1">
        <f>G12-C15+C14</f>
        <v>4616000.0932713402</v>
      </c>
    </row>
    <row r="15" spans="2:17" x14ac:dyDescent="0.25">
      <c r="B15" t="s">
        <v>9</v>
      </c>
      <c r="C15" s="9">
        <f>116332+1205884</f>
        <v>1322216</v>
      </c>
      <c r="F15" t="s">
        <v>23</v>
      </c>
      <c r="G15" s="14">
        <v>6118.9651599999997</v>
      </c>
    </row>
    <row r="17" spans="2:7" x14ac:dyDescent="0.25">
      <c r="B17" t="s">
        <v>11</v>
      </c>
      <c r="C17" s="11">
        <v>7.0000000000000007E-2</v>
      </c>
      <c r="F17" t="s">
        <v>24</v>
      </c>
      <c r="G17" s="8">
        <f>+G14/G15</f>
        <v>754.37593981517955</v>
      </c>
    </row>
    <row r="18" spans="2:7" x14ac:dyDescent="0.25">
      <c r="B18" t="s">
        <v>12</v>
      </c>
      <c r="C18" s="11">
        <v>5.5E-2</v>
      </c>
    </row>
    <row r="19" spans="2:7" x14ac:dyDescent="0.25">
      <c r="B19" t="s">
        <v>13</v>
      </c>
      <c r="C19" s="12">
        <v>0.7</v>
      </c>
    </row>
    <row r="20" spans="2:7" x14ac:dyDescent="0.25">
      <c r="B20" t="s">
        <v>14</v>
      </c>
      <c r="C20" s="6">
        <f>+C17+C19*C18</f>
        <v>0.10850000000000001</v>
      </c>
    </row>
    <row r="22" spans="2:7" x14ac:dyDescent="0.25">
      <c r="B22" t="s">
        <v>15</v>
      </c>
      <c r="C22" s="10">
        <v>0.6</v>
      </c>
    </row>
    <row r="23" spans="2:7" x14ac:dyDescent="0.25">
      <c r="B23" t="s">
        <v>16</v>
      </c>
      <c r="C23" s="13">
        <f>1-C22</f>
        <v>0.4</v>
      </c>
    </row>
    <row r="24" spans="2:7" x14ac:dyDescent="0.25">
      <c r="B24" t="s">
        <v>17</v>
      </c>
      <c r="C24" s="11">
        <v>7.4999999999999997E-2</v>
      </c>
    </row>
    <row r="25" spans="2:7" x14ac:dyDescent="0.25">
      <c r="B25" t="s">
        <v>18</v>
      </c>
      <c r="C25" s="4">
        <f>+C22*C24*(1-C5)+C23*C20</f>
        <v>7.2650000000000006E-2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DCF Aguas Andinas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Torres</dc:creator>
  <cp:lastModifiedBy>Felipe Torres</cp:lastModifiedBy>
  <dcterms:created xsi:type="dcterms:W3CDTF">2025-11-11T20:02:00Z</dcterms:created>
  <dcterms:modified xsi:type="dcterms:W3CDTF">2025-11-11T20:25:18Z</dcterms:modified>
</cp:coreProperties>
</file>